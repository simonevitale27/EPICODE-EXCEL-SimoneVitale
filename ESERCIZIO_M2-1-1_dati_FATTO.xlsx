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mone\Desktop\EPICODE\ESERCIZI\"/>
    </mc:Choice>
  </mc:AlternateContent>
  <xr:revisionPtr revIDLastSave="0" documentId="13_ncr:1_{15091BF0-FD34-42C8-B533-50617EE05C96}" xr6:coauthVersionLast="47" xr6:coauthVersionMax="47" xr10:uidLastSave="{00000000-0000-0000-0000-000000000000}"/>
  <bookViews>
    <workbookView xWindow="480" yWindow="825" windowWidth="20850" windowHeight="1266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8" i="3" l="1"/>
  <c r="I9" i="3"/>
  <c r="I10" i="3"/>
  <c r="I11" i="3"/>
  <c r="I12" i="3"/>
  <c r="I13" i="3"/>
  <c r="I7" i="3"/>
  <c r="I3" i="3"/>
  <c r="I4" i="3"/>
  <c r="I5" i="3"/>
  <c r="I2" i="3"/>
  <c r="H8" i="3"/>
  <c r="H9" i="3"/>
  <c r="H10" i="3"/>
  <c r="H11" i="3"/>
  <c r="H12" i="3"/>
  <c r="H13" i="3"/>
  <c r="H7" i="3"/>
  <c r="H3" i="3"/>
  <c r="H4" i="3"/>
  <c r="H5" i="3"/>
  <c r="H2" i="3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<sst xmlns="http://schemas.openxmlformats.org/spreadsheetml/2006/main" count="819" uniqueCount="579">
  <si>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</si>
  <si>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</si>
  <si>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</si>
  <si>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</si>
  <si>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</si>
  <si>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</si>
  <si>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</si>
  <si>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</si>
  <si>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</si>
  <si>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</si>
  <si>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</si>
  <si>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</si>
  <si>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</si>
  <si>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</si>
  <si>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</si>
  <si>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</si>
  <si>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</si>
  <si>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</si>
  <si>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</si>
  <si>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</si>
  <si>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</si>
  <si>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</si>
  <si>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</si>
  <si>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</si>
  <si>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</si>
  <si>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</si>
  <si>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</si>
  <si>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</si>
  <si>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</si>
  <si>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</si>
  <si>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</si>
  <si>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</si>
  <si>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</si>
  <si>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</si>
  <si>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</si>
  <si>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</si>
  <si>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</si>
  <si>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</si>
  <si>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</si>
  <si>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</si>
  <si>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</si>
  <si>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</si>
  <si>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</si>
  <si>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</si>
  <si>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</si>
  <si>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</si>
  <si>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</si>
  <si>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</si>
  <si>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</si>
  <si>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</si>
  <si>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</si>
  <si>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</si>
  <si>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</si>
  <si>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</si>
  <si>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</si>
  <si>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</si>
  <si>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</si>
  <si>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</si>
  <si>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</si>
  <si>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</si>
  <si>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</si>
  <si>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</si>
  <si>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</si>
  <si>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</si>
  <si>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</si>
  <si>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</si>
  <si>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</si>
  <si>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</si>
  <si>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</si>
  <si>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</si>
  <si>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</si>
  <si>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</si>
  <si>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</si>
  <si>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</si>
  <si>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</si>
  <si>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</si>
  <si>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</si>
  <si>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</si>
  <si>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</si>
  <si>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</si>
  <si>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</si>
  <si>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</si>
  <si>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</si>
  <si>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</si>
  <si>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</si>
  <si>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</si>
  <si>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</si>
  <si>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</si>
  <si>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</si>
  <si>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</si>
  <si>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</si>
  <si>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</si>
  <si>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</si>
  <si>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</si>
  <si>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</si>
  <si>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</si>
  <si>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</si>
  <si>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</si>
  <si>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</si>
  <si>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</si>
  <si>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</si>
  <si>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</si>
  <si>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</si>
  <si>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</si>
  <si>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</si>
  <si>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</si>
  <si>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</si>
  <si>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</si>
  <si>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</si>
  <si>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</si>
  <si>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</si>
  <si>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</si>
  <si>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</si>
  <si>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</si>
  <si>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</si>
  <si>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</si>
  <si>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</si>
  <si>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</si>
  <si>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</si>
  <si>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</si>
  <si>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</si>
  <si>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</si>
  <si>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</si>
  <si>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</si>
  <si>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</si>
  <si>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</si>
  <si>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</si>
  <si>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</si>
  <si>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</si>
  <si>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</si>
  <si>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</si>
  <si>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</si>
  <si>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</si>
  <si>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</si>
  <si>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</si>
  <si>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</si>
  <si>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</si>
  <si>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</si>
  <si>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</si>
  <si>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</si>
  <si>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</si>
  <si>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</si>
  <si>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</si>
  <si>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</si>
  <si>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</si>
  <si>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</si>
  <si>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</si>
  <si>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</si>
  <si>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</si>
  <si>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</si>
  <si>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</si>
  <si>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</si>
  <si>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</si>
  <si>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</si>
  <si>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</si>
  <si>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</si>
  <si>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</si>
  <si>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</si>
  <si>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</si>
  <si>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</si>
  <si>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</si>
  <si>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</si>
  <si>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</si>
  <si>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</si>
  <si>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</si>
  <si>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</si>
  <si>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</si>
  <si>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</si>
  <si>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</si>
  <si>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</si>
  <si>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</si>
  <si>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</si>
  <si>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</si>
  <si>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</si>
  <si>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</si>
  <si>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</si>
  <si>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</si>
  <si>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</si>
  <si>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</si>
  <si>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</si>
  <si>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</si>
  <si>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</si>
  <si>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</si>
  <si>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</si>
  <si>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</si>
  <si>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</si>
  <si>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</si>
  <si>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</si>
  <si>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</si>
  <si>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</si>
  <si>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</si>
  <si>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</si>
  <si>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</si>
  <si>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</si>
  <si>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</si>
  <si>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</si>
  <si>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</si>
  <si>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</si>
  <si>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</si>
  <si>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</si>
  <si>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</si>
  <si>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</si>
  <si>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</si>
  <si>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</si>
  <si>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</si>
  <si>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</si>
  <si>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</si>
  <si>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</si>
  <si>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</si>
  <si>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</si>
  <si>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</si>
  <si>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</si>
  <si>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</si>
  <si>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</si>
  <si>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</si>
  <si>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</si>
  <si>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</si>
  <si>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</si>
  <si>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</si>
  <si>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</si>
  <si>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</si>
  <si>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</si>
  <si>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</si>
  <si>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</si>
  <si>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</si>
  <si>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</si>
  <si>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</si>
  <si>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</si>
  <si>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</si>
  <si>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</si>
  <si>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</si>
  <si>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</si>
  <si>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</si>
  <si>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</si>
  <si>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</si>
  <si>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</si>
  <si>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</si>
  <si>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</si>
  <si>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</si>
  <si>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</si>
  <si>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</si>
  <si>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</si>
  <si>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</si>
  <si>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</si>
  <si>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</si>
  <si>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</si>
  <si>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</si>
  <si>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</si>
  <si>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</si>
  <si>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</si>
  <si>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</si>
  <si>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</si>
  <si>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</si>
  <si>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</si>
  <si>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</si>
  <si>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</si>
  <si>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</si>
  <si>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</si>
  <si>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</si>
  <si>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</si>
  <si>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</si>
  <si>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</si>
  <si>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</si>
  <si>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</si>
  <si>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</si>
  <si>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</si>
  <si>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</si>
  <si>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</si>
  <si>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</si>
  <si>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</si>
  <si>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</si>
  <si>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</si>
  <si>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</si>
  <si>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</si>
  <si>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</si>
  <si>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</si>
  <si>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</si>
  <si>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</si>
  <si>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</si>
  <si>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</si>
  <si>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</si>
  <si>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</si>
  <si>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</si>
  <si>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</si>
  <si>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</si>
  <si>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</si>
  <si>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</si>
  <si>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</si>
  <si>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</si>
  <si>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</si>
  <si>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</si>
  <si>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</si>
  <si>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</si>
  <si>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</si>
  <si>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</si>
  <si>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</si>
  <si>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</si>
  <si>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</si>
  <si>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</si>
  <si>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</si>
  <si>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</si>
  <si>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</si>
  <si>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</si>
  <si>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</si>
  <si>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</si>
  <si>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</si>
  <si>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</si>
  <si>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</si>
  <si>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</si>
  <si>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</si>
  <si>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</si>
  <si>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</si>
  <si>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</si>
  <si>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</si>
  <si>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</si>
  <si>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</si>
  <si>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</si>
  <si>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</si>
  <si>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</si>
  <si>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</si>
  <si>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</si>
  <si>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</si>
  <si>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</si>
  <si>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</si>
  <si>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</si>
  <si>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</si>
  <si>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</si>
  <si>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</si>
  <si>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</si>
  <si>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</si>
  <si>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</si>
  <si>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</si>
  <si>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</si>
  <si>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</si>
  <si>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</si>
  <si>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</si>
  <si>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</si>
  <si>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</si>
  <si>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</si>
  <si>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</si>
  <si>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</si>
  <si>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</si>
  <si>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</si>
  <si>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</si>
  <si>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</si>
  <si>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</si>
  <si>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</si>
  <si>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</si>
  <si>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</si>
  <si>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</si>
  <si>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</si>
  <si>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</si>
  <si>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</si>
  <si>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</si>
  <si>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</si>
  <si>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</si>
  <si>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</si>
  <si>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</si>
  <si>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</si>
  <si>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</si>
  <si>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</si>
  <si>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</si>
  <si>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</si>
  <si>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</si>
  <si>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</si>
  <si>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</si>
  <si>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</si>
  <si>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</si>
  <si>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</si>
  <si>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</si>
  <si>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</si>
  <si>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</si>
  <si>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</si>
  <si>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</si>
  <si>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</si>
  <si>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</si>
  <si>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</si>
  <si>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</si>
  <si>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</si>
  <si>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</si>
  <si>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</si>
  <si>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</si>
  <si>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</si>
  <si>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</si>
  <si>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</si>
  <si>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</si>
  <si>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</si>
  <si>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</si>
  <si>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</si>
  <si>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</si>
  <si>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</si>
  <si>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</si>
  <si>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</si>
  <si>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</si>
  <si>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</si>
  <si>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</si>
  <si>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</si>
  <si>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</si>
  <si>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</si>
  <si>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</si>
  <si>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</si>
  <si>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</si>
  <si>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</si>
  <si>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</si>
  <si>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</si>
  <si>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</si>
  <si>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</si>
  <si>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</si>
  <si>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</si>
  <si>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</si>
  <si>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</si>
  <si>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</si>
  <si>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</si>
  <si>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</si>
  <si>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</si>
  <si>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</si>
  <si>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</si>
  <si>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</si>
  <si>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</si>
  <si>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</si>
  <si>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</si>
  <si>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</si>
  <si>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</si>
  <si>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</si>
  <si>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</si>
  <si>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</si>
  <si>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</si>
  <si>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</si>
  <si>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</si>
  <si>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</si>
  <si>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</si>
  <si>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</si>
  <si>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</si>
  <si>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</si>
  <si>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</si>
  <si>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</si>
  <si>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</si>
  <si>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</si>
  <si>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</si>
  <si>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</si>
  <si>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</si>
  <si>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</si>
  <si>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</si>
  <si>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</si>
  <si>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</si>
  <si>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</si>
  <si>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</si>
  <si>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</si>
  <si>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</si>
  <si>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</si>
  <si>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</si>
  <si>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</si>
  <si>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</si>
  <si>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</si>
  <si>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</si>
  <si>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</si>
  <si>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</si>
  <si>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</si>
  <si>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</si>
  <si>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</si>
  <si>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</si>
  <si>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</si>
  <si>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</si>
  <si>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</si>
  <si>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</si>
  <si>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</si>
  <si>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</si>
  <si>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</si>
  <si>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</si>
  <si>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</si>
  <si>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</si>
  <si>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</si>
  <si>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</si>
  <si>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</si>
  <si>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</si>
  <si>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</si>
  <si>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</si>
  <si>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</si>
  <si>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</si>
  <si>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</si>
  <si>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</si>
  <si>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</si>
  <si>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</si>
  <si>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</si>
  <si>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</si>
  <si>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</si>
  <si>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</si>
  <si>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</si>
  <si>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</si>
  <si>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</si>
  <si>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</si>
  <si>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</si>
  <si>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</si>
  <si>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</si>
  <si>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</si>
  <si>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</si>
  <si>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</si>
  <si>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</si>
  <si>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</si>
  <si>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</si>
  <si>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</si>
  <si>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</si>
  <si>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</si>
  <si>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</si>
  <si>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</si>
  <si>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</si>
  <si>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</si>
  <si>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</si>
  <si>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</si>
  <si>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</si>
  <si>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</si>
  <si>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</si>
  <si>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</si>
  <si>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</si>
  <si>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</si>
  <si>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</si>
  <si>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</si>
  <si>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</si>
  <si>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</si>
  <si>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</si>
  <si>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</si>
  <si>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</si>
  <si>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</si>
  <si>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</si>
  <si>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</si>
  <si>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</si>
  <si>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</si>
  <si>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</si>
  <si>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</si>
  <si>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</si>
  <si>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</si>
  <si>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</si>
  <si>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</si>
  <si>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</si>
  <si>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</si>
  <si>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</si>
  <si>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</si>
  <si>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</si>
  <si>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</si>
  <si>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</si>
  <si>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</si>
  <si>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</si>
  <si>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</si>
  <si>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</si>
  <si>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</si>
  <si>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</si>
  <si>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</si>
  <si>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</si>
  <si>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</si>
  <si>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</si>
  <si>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</si>
  <si>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</si>
  <si>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</si>
  <si>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</si>
  <si>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</si>
  <si>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</si>
  <si>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</si>
  <si>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</si>
  <si>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</si>
  <si>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</si>
  <si>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</si>
  <si>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</si>
  <si>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</si>
  <si>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</si>
  <si>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</si>
  <si>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</si>
  <si>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</si>
  <si>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</si>
  <si>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</si>
  <si>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</si>
  <si>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Esito</t>
  </si>
  <si>
    <t>respinto</t>
  </si>
  <si>
    <t>buono</t>
  </si>
  <si>
    <t>sufficiente</t>
  </si>
  <si>
    <t>discreto</t>
  </si>
  <si>
    <t>Punteggi</t>
  </si>
  <si>
    <t>Esiti</t>
  </si>
  <si>
    <t>Fatture Emesse</t>
  </si>
  <si>
    <t>Tot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</si>
</sst>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44" fontId="0" fillId="0" borderId="0" xfId="1" applyFont="1"/>
  </cellXfs>
  <cellStyles count="2">
    <cellStyle name="Normale" xfId="0" builtinId="0"/>
    <cellStyle name="Valuta" xfId="1" builtinId="4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</xdr:colOff>
      <xdr:row>5</xdr:row>
      <xdr:rowOff>150813</xdr:rowOff>
    </xdr:from>
    <xdr:to>
      <xdr:col>11</xdr:col>
      <xdr:colOff>555626</xdr:colOff>
      <xdr:row>17</xdr:row>
      <xdr:rowOff>103188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F78BF67-42D7-8485-D656-A81158736641}"/>
            </a:ext>
          </a:extLst>
        </xdr:cNvPr>
        <xdr:cNvSpPr txBox="1"/>
      </xdr:nvSpPr>
      <xdr:spPr>
        <a:xfrm>
          <a:off x="4587875" y="944563"/>
          <a:ext cx="5095876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Come ho fatto: ho inserito i punteggi in una nuova colonna, accanto i valori corrispondenti al punteggio.</a:t>
          </a:r>
          <a:r>
            <a:rPr lang="it-IT" sz="1100" baseline="0"/>
            <a:t> Poi nella prima cella C2, ho inserito questa formula: </a:t>
          </a:r>
        </a:p>
        <a:p>
          <a:endParaRPr lang="it-IT" sz="1100" baseline="0"/>
        </a:p>
        <a:p>
          <a:r>
            <a:rPr lang="it-IT" sz="1100" baseline="0"/>
            <a:t>=CERCA.VERT([@Column2]; $E$2:$F$5; 2; FALSO)</a:t>
          </a:r>
        </a:p>
        <a:p>
          <a:endParaRPr lang="it-IT" sz="1100" baseline="0"/>
        </a:p>
        <a:p>
          <a:r>
            <a:rPr lang="it-IT" sz="1100" baseline="0"/>
            <a:t>il primo valore, indica a quale colonna fare rifermento quindi B perche dobbiamo cercare li i punteggi; il secondo fa rifermento alla matrice quindi alla mia nuova tabellina che ho reso assoluta; il 2 indica che cerca.vert deve resituire valori della colonna 2 della mia matrice quindi colonna F; FALSO perchè voglio una corrispondenza assoluta, ovvero voglio esattamente quel valore.</a:t>
          </a:r>
          <a:endParaRPr lang="it-I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B1" workbookViewId="0">
      <pane ySplit="1" topLeftCell="A2" activePane="bottomLeft" state="frozen"/>
      <selection pane="bottomLeft" activeCell="G17" sqref="G17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4.5703125" bestFit="1" customWidth="1"/>
    <col min="5" max="5" width="92.140625" bestFit="1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 t="s">
        <v>569</v>
      </c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>
        <f>C2*20%</f>
        <v>56200</v>
      </c>
      <c r="E2" s="4" t="str">
        <f>_xlfn.CONCAT(A2, " ", 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C3*20%</f>
        <v>64600</v>
      </c>
      <c r="E3" s="4" t="str">
        <f t="shared" ref="E3:E66" si="1">_xlfn.CONCAT(A3, " ", 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C67*20%</f>
        <v>100200</v>
      </c>
      <c r="E67" s="4" t="str">
        <f t="shared" ref="E67:E130" si="3">_xlfn.CONCAT(A67, " ", 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4">C131*20%</f>
        <v>19400</v>
      </c>
      <c r="E131" s="4" t="str">
        <f t="shared" ref="E131:E194" si="5">_xlfn.CONCAT(A131, " ", 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C195*20%</f>
        <v>2200</v>
      </c>
      <c r="E195" s="4" t="str">
        <f t="shared" ref="E195:E258" si="7">_xlfn.CONCAT(A195, " ", 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C259*20%</f>
        <v>45400</v>
      </c>
      <c r="E259" s="4" t="str">
        <f t="shared" ref="E259:E322" si="9">_xlfn.CONCAT(A259, " ", 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C323*20%</f>
        <v>16000</v>
      </c>
      <c r="E323" s="4" t="str">
        <f t="shared" ref="E323:E337" si="11">_xlfn.CONCAT(A323, " ", 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zoomScale="120" zoomScaleNormal="120" workbookViewId="0">
      <selection activeCell="H4" sqref="H4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19.28515625" customWidth="1"/>
    <col min="4" max="4" width="14" customWidth="1"/>
    <col min="5" max="5" width="9.28515625" customWidth="1"/>
    <col min="6" max="6" width="9.28515625" bestFit="1" customWidth="1"/>
    <col min="7" max="7" width="14.28515625" customWidth="1"/>
    <col min="8" max="8" width="8" customWidth="1"/>
    <col min="9" max="26" width="9.28515625" customWidth="1"/>
  </cols>
  <sheetData>
    <row r="1" spans="1:26" ht="12.75" customHeight="1" x14ac:dyDescent="0.2">
      <c r="A1" s="6" t="s">
        <v>484</v>
      </c>
      <c r="B1" s="6" t="s">
        <v>485</v>
      </c>
      <c r="C1" s="6" t="s">
        <v>570</v>
      </c>
      <c r="D1" s="4"/>
      <c r="E1" s="15" t="s">
        <v>575</v>
      </c>
      <c r="F1" s="15" t="s">
        <v>576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>
        <f>VLOOKUP(Table_1[[#This Row],[Column2]], $E$2:$F$5, 2, FALSE)</f>
        <v>sufficiente</v>
      </c>
      <c r="D2" s="8"/>
      <c r="E2" s="8">
        <v>0</v>
      </c>
      <c r="F2" s="7" t="s">
        <v>571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>
        <f>VLOOKUP(Table_1[[#This Row],[Column2]], $E$2:$F$5, 2, FALSE)</f>
        <v>discreto</v>
      </c>
      <c r="E3" s="8">
        <v>40</v>
      </c>
      <c r="F3" s="7" t="s">
        <v>573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>
        <f>VLOOKUP(Table_1[[#This Row],[Column2]], $E$2:$F$5, 2, FALSE)</f>
        <v>discreto</v>
      </c>
      <c r="E4" s="8">
        <v>60</v>
      </c>
      <c r="F4" s="7" t="s">
        <v>574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>
        <f>VLOOKUP(Table_1[[#This Row],[Column2]], $E$2:$F$5, 2, FALSE)</f>
        <v>sufficiente</v>
      </c>
      <c r="E5" s="8">
        <v>70</v>
      </c>
      <c r="F5" s="7" t="s">
        <v>572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>
        <f>VLOOKUP(Table_1[[#This Row],[Column2]], $E$2:$F$5, 2, FALSE)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>
        <f>VLOOKUP(Table_1[[#This Row],[Column2]], $E$2:$F$5, 2, FALSE)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>
        <f>VLOOKUP(Table_1[[#This Row],[Column2]], $E$2:$F$5, 2, FALSE)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J8" sqref="J8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25.7109375" customWidth="1"/>
    <col min="5" max="5" width="21.7109375" customWidth="1"/>
    <col min="6" max="6" width="7.85546875" customWidth="1"/>
    <col min="7" max="8" width="18.5703125" bestFit="1" customWidth="1"/>
    <col min="9" max="9" width="15.42578125" bestFit="1" customWidth="1"/>
    <col min="10" max="24" width="8.7109375" customWidth="1"/>
  </cols>
  <sheetData>
    <row r="1" spans="1:24" ht="13.5" customHeight="1" x14ac:dyDescent="0.3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6" t="s">
        <v>495</v>
      </c>
      <c r="H1" s="16" t="s">
        <v>577</v>
      </c>
      <c r="I1" s="16" t="s">
        <v>578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3" t="s">
        <v>499</v>
      </c>
      <c r="H2">
        <f>COUNTIF($C$2:$C$80, G2)</f>
        <v>11</v>
      </c>
      <c r="I2" s="18">
        <f>SUMIF($C$2:$C$80, G2, $D$2:$D$80)</f>
        <v>611780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7" t="s">
        <v>558</v>
      </c>
      <c r="H3">
        <f t="shared" ref="H3:H5" si="0">COUNTIF($C$2:$C$80, G3)</f>
        <v>5</v>
      </c>
      <c r="I3" s="18">
        <f t="shared" ref="I3:I5" si="1">SUMIF($C$2:$C$80, G3, $D$2:$D$80)</f>
        <v>30860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7" t="s">
        <v>506</v>
      </c>
      <c r="H4">
        <f t="shared" si="0"/>
        <v>4</v>
      </c>
      <c r="I4" s="18">
        <f t="shared" si="1"/>
        <v>54000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7" t="s">
        <v>547</v>
      </c>
      <c r="H5">
        <f t="shared" si="0"/>
        <v>4</v>
      </c>
      <c r="I5" s="18">
        <f t="shared" si="1"/>
        <v>6765600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7" t="s">
        <v>501</v>
      </c>
      <c r="H7">
        <f>COUNTIF($B$2:$B$80, G7)</f>
        <v>2</v>
      </c>
      <c r="I7" s="18">
        <f>SUMIF($B$2:$B$80, G7, $D$2:$D$80)</f>
        <v>73450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7" t="s">
        <v>507</v>
      </c>
      <c r="H8">
        <f t="shared" ref="H8:H13" si="2">COUNTIF($B$2:$B$80, G8)</f>
        <v>1</v>
      </c>
      <c r="I8" s="18">
        <f t="shared" ref="I8:I13" si="3">SUMIF($B$2:$B$80, G8, $D$2:$D$80)</f>
        <v>50800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7" t="s">
        <v>509</v>
      </c>
      <c r="H9">
        <f t="shared" si="2"/>
        <v>1</v>
      </c>
      <c r="I9" s="18">
        <f t="shared" si="3"/>
        <v>98450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7" t="s">
        <v>511</v>
      </c>
      <c r="H10">
        <f t="shared" si="2"/>
        <v>1</v>
      </c>
      <c r="I10" s="18">
        <f t="shared" si="3"/>
        <v>7950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7" t="s">
        <v>525</v>
      </c>
      <c r="H11">
        <f t="shared" si="2"/>
        <v>4</v>
      </c>
      <c r="I11" s="18">
        <f t="shared" si="3"/>
        <v>283000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t="s">
        <v>528</v>
      </c>
      <c r="H12">
        <f t="shared" si="2"/>
        <v>2</v>
      </c>
      <c r="I12" s="18">
        <f t="shared" si="3"/>
        <v>107700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t="s">
        <v>529</v>
      </c>
      <c r="H13">
        <f t="shared" si="2"/>
        <v>1</v>
      </c>
      <c r="I13" s="18">
        <f t="shared" si="3"/>
        <v>27270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autoFilter ref="A1:E8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SIMONE VITALE</cp:lastModifiedBy>
  <dcterms:created xsi:type="dcterms:W3CDTF">2005-04-12T12:35:30Z</dcterms:created>
  <dcterms:modified xsi:type="dcterms:W3CDTF">2025-10-29T10:40:30Z</dcterms:modified>
</cp:coreProperties>
</file>